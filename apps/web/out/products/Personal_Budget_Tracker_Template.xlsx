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Jan" sheetId="2" r:id="rId6"/>
    <sheet state="visible" name="Feb" sheetId="3" r:id="rId7"/>
    <sheet state="visible" name="Mar" sheetId="4" r:id="rId8"/>
    <sheet state="visible" name="Apr" sheetId="5" r:id="rId9"/>
    <sheet state="visible" name="May" sheetId="6" r:id="rId10"/>
    <sheet state="visible" name="Jun" sheetId="7" r:id="rId11"/>
    <sheet state="visible" name="Jul" sheetId="8" r:id="rId12"/>
    <sheet state="visible" name="Aug" sheetId="9" r:id="rId13"/>
    <sheet state="visible" name="Sep" sheetId="10" r:id="rId14"/>
    <sheet state="visible" name="Oct" sheetId="11" r:id="rId15"/>
    <sheet state="visible" name="Nov" sheetId="12" r:id="rId16"/>
    <sheet state="visible" name="Dec" sheetId="13" r:id="rId17"/>
  </sheets>
  <definedNames/>
  <calcPr/>
</workbook>
</file>

<file path=xl/sharedStrings.xml><?xml version="1.0" encoding="utf-8"?>
<sst xmlns="http://schemas.openxmlformats.org/spreadsheetml/2006/main" count="889" uniqueCount="105">
  <si>
    <t xml:space="preserve">  ANNUAL OVERVIEW — 2026 BUDGET DASHBOARD</t>
  </si>
  <si>
    <t xml:space="preserve">  FEBRUARY 2026 — BUDGET TRACKER</t>
  </si>
  <si>
    <t xml:space="preserve">  JANUARY 2026 — BUDGET TRACKER</t>
  </si>
  <si>
    <t xml:space="preserve">  MARCH 2026 — BUDGET TRACKER</t>
  </si>
  <si>
    <t xml:space="preserve">  💰 INCOME</t>
  </si>
  <si>
    <t xml:space="preserve">  📅 MONTHLY SUMMARY</t>
  </si>
  <si>
    <t xml:space="preserve">  📊 DASHBOARD</t>
  </si>
  <si>
    <t xml:space="preserve">  📊 YEARLY DASHBOARD</t>
  </si>
  <si>
    <t>Chart data (auto — leave as is)</t>
  </si>
  <si>
    <t>Source</t>
  </si>
  <si>
    <t>Amount (₹)</t>
  </si>
  <si>
    <t>Total Income</t>
  </si>
  <si>
    <t>Month</t>
  </si>
  <si>
    <t>Total Needs</t>
  </si>
  <si>
    <t>Needs</t>
  </si>
  <si>
    <t>Wants</t>
  </si>
  <si>
    <t>Savings/Invest</t>
  </si>
  <si>
    <t>Total Wants</t>
  </si>
  <si>
    <t>Total Expenses</t>
  </si>
  <si>
    <t>Surplus/Deficit</t>
  </si>
  <si>
    <t>Savings Rate</t>
  </si>
  <si>
    <t>Savings / Invest</t>
  </si>
  <si>
    <t>YTD Income</t>
  </si>
  <si>
    <t>Surplus / Deficit</t>
  </si>
  <si>
    <t>YTD Expenses</t>
  </si>
  <si>
    <t>Category</t>
  </si>
  <si>
    <t>Amount</t>
  </si>
  <si>
    <t>Salary</t>
  </si>
  <si>
    <t>YTD Savings</t>
  </si>
  <si>
    <t>YTD Surplus</t>
  </si>
  <si>
    <t>Avg Savings Rate</t>
  </si>
  <si>
    <t>January</t>
  </si>
  <si>
    <t>Freelance / Side Income</t>
  </si>
  <si>
    <t>Other Income</t>
  </si>
  <si>
    <t xml:space="preserve">  ✅ BUDGET HEALTH CHECK — 50 / 30 / 20 Rule</t>
  </si>
  <si>
    <t>Actual Amount</t>
  </si>
  <si>
    <t>Actual %</t>
  </si>
  <si>
    <t>Target %</t>
  </si>
  <si>
    <t>Status</t>
  </si>
  <si>
    <t>Leftover</t>
  </si>
  <si>
    <t>Needs (Essentials)</t>
  </si>
  <si>
    <t>February</t>
  </si>
  <si>
    <t>March</t>
  </si>
  <si>
    <t>Wants (Lifestyle)</t>
  </si>
  <si>
    <t xml:space="preserve">  ✅ YEARLY HEALTH CHECK — 50 / 30 / 20 Rule</t>
  </si>
  <si>
    <t>April</t>
  </si>
  <si>
    <t>Savings &amp; Investments</t>
  </si>
  <si>
    <t>TOTAL INCOME</t>
  </si>
  <si>
    <t>Unallocated</t>
  </si>
  <si>
    <t>May</t>
  </si>
  <si>
    <t xml:space="preserve">  🏠 NEEDS — Essential Expenses</t>
  </si>
  <si>
    <t>Rent / Housing</t>
  </si>
  <si>
    <t>Groceries &amp; Food</t>
  </si>
  <si>
    <t>Utilities (Electricity, Water, Gas)</t>
  </si>
  <si>
    <t>EMI / Loan Payments</t>
  </si>
  <si>
    <t>Insurance Premiums</t>
  </si>
  <si>
    <t>Transportation</t>
  </si>
  <si>
    <t>Medical / Health</t>
  </si>
  <si>
    <t>Other Needs</t>
  </si>
  <si>
    <t>TOTAL NEEDS</t>
  </si>
  <si>
    <t xml:space="preserve">  🛍️ WANTS — Lifestyle Expenses</t>
  </si>
  <si>
    <t>June</t>
  </si>
  <si>
    <t>Shopping</t>
  </si>
  <si>
    <t>Dining &amp; Entertainment</t>
  </si>
  <si>
    <t>Subscriptions (OTT / Apps)</t>
  </si>
  <si>
    <t>Travel &amp; Vacation</t>
  </si>
  <si>
    <t>Gifts &amp; Celebrations</t>
  </si>
  <si>
    <t>Hobbies &amp; Self-care</t>
  </si>
  <si>
    <t>Other Wants</t>
  </si>
  <si>
    <t>TOTAL WANTS</t>
  </si>
  <si>
    <t>July</t>
  </si>
  <si>
    <t xml:space="preserve">  📈 SAVINGS &amp; INVESTMENTS</t>
  </si>
  <si>
    <t>SIP / Mutual Funds</t>
  </si>
  <si>
    <t>Fixed Deposit / RD</t>
  </si>
  <si>
    <t>Emergency Fund</t>
  </si>
  <si>
    <t>Retirement (PF / NPS)</t>
  </si>
  <si>
    <t>Stocks / Equity</t>
  </si>
  <si>
    <t>Gold / Other Assets</t>
  </si>
  <si>
    <t>Other Investments</t>
  </si>
  <si>
    <t>August</t>
  </si>
  <si>
    <t>TOTAL SAVINGS &amp; INVESTMENTS</t>
  </si>
  <si>
    <t xml:space="preserve">  🏦 BANK ACCOUNTS</t>
  </si>
  <si>
    <t>Bank Name</t>
  </si>
  <si>
    <t>September</t>
  </si>
  <si>
    <t>Opening Balance</t>
  </si>
  <si>
    <t>Closing Balance</t>
  </si>
  <si>
    <t>TOTAL</t>
  </si>
  <si>
    <t>October</t>
  </si>
  <si>
    <t>Primary Savings Bank</t>
  </si>
  <si>
    <t>Salary Account</t>
  </si>
  <si>
    <t>November</t>
  </si>
  <si>
    <t>🔵 Blue text = editable input cells. Category names can be renamed. Totals &amp; charts update automatically.</t>
  </si>
  <si>
    <t>December</t>
  </si>
  <si>
    <t>TOTAL (YEAR)</t>
  </si>
  <si>
    <t>MONTHLY AVERAGE</t>
  </si>
  <si>
    <t>Fill in each month's tab (Jan–Dec) with your own numbers — this summary and the charts below update automatically.</t>
  </si>
  <si>
    <t xml:space="preserve">  APRIL 2026 — BUDGET TRACKER</t>
  </si>
  <si>
    <t xml:space="preserve">  MAY 2026 — BUDGET TRACKER</t>
  </si>
  <si>
    <t xml:space="preserve">  JULY 2026 — BUDGET TRACKER</t>
  </si>
  <si>
    <t xml:space="preserve">  JUNE 2026 — BUDGET TRACKER</t>
  </si>
  <si>
    <t xml:space="preserve">  AUGUST 2026 — BUDGET TRACKER</t>
  </si>
  <si>
    <t xml:space="preserve">  SEPTEMBER 2026 — BUDGET TRACKER</t>
  </si>
  <si>
    <t xml:space="preserve">  OCTOBER 2026 — BUDGET TRACKER</t>
  </si>
  <si>
    <t xml:space="preserve">  NOVEMBER 2026 — BUDGET TRACKER</t>
  </si>
  <si>
    <t xml:space="preserve">  DECEMBER 2026 — BUDGET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</si>
</sst>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;[RED]&quot;-₹&quot;#,##0;\-"/>
    <numFmt numFmtId="165" formatCode="0.0%"/>
  </numFmts>
  <fonts count="16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2.0"/>
      <color rgb="FFFFFFFF"/>
      <name val="Calibri"/>
    </font>
    <font>
      <i/>
      <sz val="8.0"/>
      <color rgb="FFAAAAAA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9.0"/>
      <color rgb="FF888888"/>
      <name val="Calibri"/>
    </font>
    <font>
      <sz val="11.0"/>
      <color rgb="FF1155CC"/>
      <name val="Calibri"/>
    </font>
    <font>
      <sz val="11.0"/>
      <color rgb="FF000000"/>
      <name val="Calibri"/>
    </font>
    <font>
      <b/>
      <sz val="13.0"/>
      <color theme="1"/>
      <name val="Calibri"/>
    </font>
    <font>
      <sz val="9.0"/>
      <color rgb="FF888888"/>
      <name val="Calibri"/>
    </font>
    <font>
      <sz val="11.0"/>
      <color rgb="FF666666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i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E7145"/>
        <bgColor rgb="FF1E7145"/>
      </patternFill>
    </fill>
    <fill>
      <patternFill patternType="solid">
        <fgColor rgb="FFD9D9D9"/>
        <bgColor rgb="FFD9D9D9"/>
      </patternFill>
    </fill>
    <fill>
      <patternFill patternType="solid">
        <fgColor rgb="FFC6E8D4"/>
        <bgColor rgb="FFC6E8D4"/>
      </patternFill>
    </fill>
    <fill>
      <patternFill patternType="solid">
        <fgColor rgb="FFF4D4C9"/>
        <bgColor rgb="FFF4D4C9"/>
      </patternFill>
    </fill>
    <fill>
      <patternFill patternType="solid">
        <fgColor rgb="FFE3D9F0"/>
        <bgColor rgb="FFE3D9F0"/>
      </patternFill>
    </fill>
    <fill>
      <patternFill patternType="solid">
        <fgColor rgb="FFD6E4F0"/>
        <bgColor rgb="FFD6E4F0"/>
      </patternFill>
    </fill>
    <fill>
      <patternFill patternType="solid">
        <fgColor rgb="FF2E5395"/>
        <bgColor rgb="FF2E5395"/>
      </patternFill>
    </fill>
    <fill>
      <patternFill patternType="solid">
        <fgColor rgb="FFB7472A"/>
        <bgColor rgb="FFB7472A"/>
      </patternFill>
    </fill>
    <fill>
      <patternFill patternType="solid">
        <fgColor rgb="FF5B3E8C"/>
        <bgColor rgb="FF5B3E8C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4" fillId="0" fontId="8" numFmtId="164" xfId="0" applyAlignment="1" applyBorder="1" applyFont="1" applyNumberFormat="1">
      <alignment horizontal="right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1" fillId="5" fontId="10" numFmtId="164" xfId="0" applyAlignment="1" applyBorder="1" applyFill="1" applyFont="1" applyNumberFormat="1">
      <alignment horizontal="center" shrinkToFit="0" vertical="center" wrapText="0"/>
    </xf>
    <xf borderId="4" fillId="0" fontId="9" numFmtId="164" xfId="0" applyAlignment="1" applyBorder="1" applyFont="1" applyNumberFormat="1">
      <alignment horizontal="right" shrinkToFit="0" vertical="center" wrapText="0"/>
    </xf>
    <xf borderId="1" fillId="6" fontId="10" numFmtId="164" xfId="0" applyAlignment="1" applyBorder="1" applyFill="1" applyFont="1" applyNumberFormat="1">
      <alignment horizontal="center" shrinkToFit="0" vertical="center" wrapText="0"/>
    </xf>
    <xf borderId="1" fillId="7" fontId="10" numFmtId="164" xfId="0" applyAlignment="1" applyBorder="1" applyFill="1" applyFont="1" applyNumberFormat="1">
      <alignment horizontal="center" shrinkToFit="0" vertical="center" wrapText="0"/>
    </xf>
    <xf borderId="1" fillId="8" fontId="10" numFmtId="164" xfId="0" applyAlignment="1" applyBorder="1" applyFill="1" applyFont="1" applyNumberFormat="1">
      <alignment horizontal="center" shrinkToFit="0" vertical="center" wrapText="0"/>
    </xf>
    <xf borderId="1" fillId="4" fontId="10" numFmtId="164" xfId="0" applyAlignment="1" applyBorder="1" applyFill="1" applyFont="1" applyNumberForma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1" numFmtId="164" xfId="0" applyAlignment="1" applyFont="1" applyNumberFormat="1">
      <alignment horizontal="left" shrinkToFit="0" vertical="center" wrapText="0"/>
    </xf>
    <xf borderId="4" fillId="0" fontId="9" numFmtId="165" xfId="0" applyAlignment="1" applyBorder="1" applyFont="1" applyNumberFormat="1">
      <alignment horizontal="right" shrinkToFit="0" vertical="center" wrapText="0"/>
    </xf>
    <xf borderId="1" fillId="9" fontId="3" numFmtId="0" xfId="0" applyAlignment="1" applyBorder="1" applyFill="1" applyFont="1">
      <alignment horizontal="left" shrinkToFit="0" vertical="center" wrapText="0"/>
    </xf>
    <xf borderId="1" fillId="7" fontId="10" numFmtId="165" xfId="0" applyAlignment="1" applyBorder="1" applyFill="1" applyFont="1" applyNumberFormat="1">
      <alignment horizontal="center" shrinkToFit="0" vertical="center" wrapText="0"/>
    </xf>
    <xf borderId="4" fillId="0" fontId="12" numFmtId="165" xfId="0" applyAlignment="1" applyBorder="1" applyFont="1" applyNumberFormat="1">
      <alignment horizontal="right"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4" fillId="5" fontId="13" numFmtId="0" xfId="0" applyAlignment="1" applyBorder="1" applyFill="1" applyFont="1">
      <alignment horizontal="left" shrinkToFit="0" vertical="center" wrapText="0"/>
    </xf>
    <xf borderId="4" fillId="5" fontId="13" numFmtId="164" xfId="0" applyAlignment="1" applyBorder="1" applyFill="1" applyFont="1" applyNumberFormat="1">
      <alignment horizontal="right" shrinkToFit="0" vertical="center" wrapText="0"/>
    </xf>
    <xf borderId="1" fillId="10" fontId="3" numFmtId="0" xfId="0" applyAlignment="1" applyBorder="1" applyFill="1" applyFont="1">
      <alignment horizontal="left" shrinkToFit="0" vertical="center" wrapText="0"/>
    </xf>
    <xf borderId="4" fillId="6" fontId="13" numFmtId="0" xfId="0" applyAlignment="1" applyBorder="1" applyFill="1" applyFont="1">
      <alignment horizontal="left" shrinkToFit="0" vertical="center" wrapText="0"/>
    </xf>
    <xf borderId="4" fillId="6" fontId="13" numFmtId="164" xfId="0" applyAlignment="1" applyBorder="1" applyFill="1" applyFont="1" applyNumberFormat="1">
      <alignment horizontal="right" shrinkToFit="0" vertical="center" wrapText="0"/>
    </xf>
    <xf borderId="1" fillId="11" fontId="3" numFmtId="0" xfId="0" applyAlignment="1" applyBorder="1" applyFill="1" applyFont="1">
      <alignment horizontal="left" shrinkToFit="0" vertical="center" wrapText="0"/>
    </xf>
    <xf borderId="4" fillId="7" fontId="13" numFmtId="0" xfId="0" applyAlignment="1" applyBorder="1" applyFill="1" applyFont="1">
      <alignment horizontal="left" shrinkToFit="0" vertical="center" wrapText="0"/>
    </xf>
    <xf borderId="4" fillId="7" fontId="13" numFmtId="164" xfId="0" applyAlignment="1" applyBorder="1" applyFill="1" applyFont="1" applyNumberFormat="1">
      <alignment horizontal="right" shrinkToFit="0" vertical="center" wrapText="0"/>
    </xf>
    <xf borderId="4" fillId="8" fontId="13" numFmtId="0" xfId="0" applyAlignment="1" applyBorder="1" applyFill="1" applyFont="1">
      <alignment horizontal="left" shrinkToFit="0" vertical="center" wrapText="0"/>
    </xf>
    <xf borderId="4" fillId="8" fontId="13" numFmtId="164" xfId="0" applyAlignment="1" applyBorder="1" applyFill="1" applyFont="1" applyNumberFormat="1">
      <alignment horizontal="right" shrinkToFit="0" vertical="center" wrapText="0"/>
    </xf>
    <xf borderId="4" fillId="4" fontId="13" numFmtId="0" xfId="0" applyAlignment="1" applyBorder="1" applyFill="1" applyFont="1">
      <alignment horizontal="left" shrinkToFit="0" vertical="center" wrapText="0"/>
    </xf>
    <xf borderId="4" fillId="4" fontId="13" numFmtId="164" xfId="0" applyAlignment="1" applyBorder="1" applyFill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0"/>
    </xf>
    <xf borderId="4" fillId="4" fontId="13" numFmtId="165" xfId="0" applyAlignment="1" applyBorder="1" applyFill="1" applyFont="1" applyNumberFormat="1">
      <alignment horizontal="right" shrinkToFit="0" vertical="center" wrapText="0"/>
    </xf>
    <xf borderId="4" fillId="12" fontId="15" numFmtId="0" xfId="0" applyAlignment="1" applyBorder="1" applyFill="1" applyFont="1">
      <alignment horizontal="left" shrinkToFit="0" vertical="center" wrapText="0"/>
    </xf>
    <xf borderId="4" fillId="12" fontId="15" numFmtId="164" xfId="0" applyAlignment="1" applyBorder="1" applyFill="1" applyFont="1" applyNumberFormat="1">
      <alignment horizontal="right" shrinkToFit="0" vertical="center" wrapText="0"/>
    </xf>
    <xf borderId="4" fillId="12" fontId="15" numFmtId="165" xfId="0" applyAlignment="1" applyBorder="1" applyFill="1" applyFont="1" applyNumberFormat="1">
      <alignment horizontal="right" shrinkToFit="0" vertical="center" wrapText="0"/>
    </xf>
  </cellXfs>
  <cellStyles count="1">
    <cellStyle xfId="0" name="Normal" builtinId="0"/>
  </cellStyles>
  <dxfs count="4">
    <dxf>
      <font>
        <b/>
        <sz val="13.0"/>
        <color rgb="FFC00000"/>
        <name val="Calibri"/>
      </font>
      <fill>
        <patternFill patternType="none"/>
      </fill>
      <border/>
    </dxf>
    <dxf>
      <font>
        <b/>
        <sz val="13.0"/>
        <color rgb="FF1E7145"/>
        <name val="Calibri"/>
      </font>
      <fill>
        <patternFill patternType="none"/>
      </fill>
      <border/>
    </dxf>
    <dxf>
      <font>
        <b/>
        <color rgb="FFC00000"/>
        <name val="Calibri"/>
      </font>
      <fill>
        <patternFill patternType="none"/>
      </fill>
      <border/>
    </dxf>
    <dxf>
      <font>
        <b/>
        <color rgb="FF1E7145"/>
        <name val="Calibri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Income, Needs, Wants &amp; Savings — Monthly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Income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Overview!$A$5:$A$16</c:f>
            </c:strRef>
          </c:cat>
          <c:val>
            <c:numRef>
              <c:f>Overview!$B$5:$B$16</c:f>
              <c:numCache/>
            </c:numRef>
          </c:val>
          <c:smooth val="0"/>
        </c:ser>
        <c:ser>
          <c:idx val="1"/>
          <c:order val="1"/>
          <c:tx>
            <c:v>Needs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Overview!$A$5:$A$16</c:f>
            </c:strRef>
          </c:cat>
          <c:val>
            <c:numRef>
              <c:f>Overview!$C$5:$C$16</c:f>
              <c:numCache/>
            </c:numRef>
          </c:val>
          <c:smooth val="0"/>
        </c:ser>
        <c:ser>
          <c:idx val="2"/>
          <c:order val="2"/>
          <c:tx>
            <c:v>Wants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8B855">
                  <a:alpha val="100000"/>
                </a:srgbClr>
              </a:solidFill>
              <a:ln cmpd="sng">
                <a:solidFill>
                  <a:srgbClr val="98B855">
                    <a:alpha val="100000"/>
                  </a:srgbClr>
                </a:solidFill>
              </a:ln>
            </c:spPr>
          </c:marker>
          <c:cat>
            <c:strRef>
              <c:f>Overview!$A$5:$A$16</c:f>
            </c:strRef>
          </c:cat>
          <c:val>
            <c:numRef>
              <c:f>Overview!$D$5:$D$16</c:f>
              <c:numCache/>
            </c:numRef>
          </c:val>
          <c:smooth val="0"/>
        </c:ser>
        <c:ser>
          <c:idx val="3"/>
          <c:order val="3"/>
          <c:tx>
            <c:v>Savings/Invest</c:v>
          </c:tx>
          <c:spPr>
            <a:ln cmpd="sng" w="19050">
              <a:solidFill>
                <a:srgbClr val="7D5FA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D5FA0">
                  <a:alpha val="100000"/>
                </a:srgbClr>
              </a:solidFill>
              <a:ln cmpd="sng">
                <a:solidFill>
                  <a:srgbClr val="7D5FA0">
                    <a:alpha val="100000"/>
                  </a:srgbClr>
                </a:solidFill>
              </a:ln>
            </c:spPr>
          </c:marker>
          <c:cat>
            <c:strRef>
              <c:f>Overview!$A$5:$A$16</c:f>
            </c:strRef>
          </c:cat>
          <c:val>
            <c:numRef>
              <c:f>Overview!$E$5:$E$16</c:f>
              <c:numCache/>
            </c:numRef>
          </c:val>
          <c:smooth val="0"/>
        </c:ser>
        <c:axId val="1417094417"/>
        <c:axId val="1081394072"/>
      </c:lineChart>
      <c:catAx>
        <c:axId val="1417094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1394072"/>
      </c:catAx>
      <c:valAx>
        <c:axId val="1081394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₹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709441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Yearly Money Split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Overview!$U$5:$U$8</c:f>
            </c:strRef>
          </c:cat>
          <c:val>
            <c:numRef>
              <c:f>Overview!$V$5:$V$8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Jan!$P$5:$P$8</c:f>
            </c:strRef>
          </c:cat>
          <c:val>
            <c:numRef>
              <c:f>Jan!$Q$5:$Q$8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Jan!$E$9:$E$11</c:f>
            </c:strRef>
          </c:cat>
          <c:val>
            <c:numRef>
              <c:f>Jan!$G$9:$G$11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Jan!$E$9:$E$11</c:f>
            </c:strRef>
          </c:cat>
          <c:val>
            <c:numRef>
              <c:f>Jan!$H$9:$H$11</c:f>
              <c:numCache/>
            </c:numRef>
          </c:val>
        </c:ser>
        <c:axId val="961267343"/>
        <c:axId val="1266931711"/>
      </c:barChart>
      <c:catAx>
        <c:axId val="96126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6931711"/>
      </c:catAx>
      <c:valAx>
        <c:axId val="1266931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12673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Feb!$P$5:$P$8</c:f>
            </c:strRef>
          </c:cat>
          <c:val>
            <c:numRef>
              <c:f>Feb!$Q$5:$Q$8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Feb!$E$9:$E$11</c:f>
            </c:strRef>
          </c:cat>
          <c:val>
            <c:numRef>
              <c:f>Feb!$G$9:$G$11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Feb!$E$9:$E$11</c:f>
            </c:strRef>
          </c:cat>
          <c:val>
            <c:numRef>
              <c:f>Feb!$H$9:$H$11</c:f>
              <c:numCache/>
            </c:numRef>
          </c:val>
        </c:ser>
        <c:axId val="828950746"/>
        <c:axId val="274362521"/>
      </c:barChart>
      <c:catAx>
        <c:axId val="82895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4362521"/>
      </c:catAx>
      <c:valAx>
        <c:axId val="274362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89507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Mar!$P$5:$P$8</c:f>
            </c:strRef>
          </c:cat>
          <c:val>
            <c:numRef>
              <c:f>Mar!$Q$5:$Q$8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Mar!$E$9:$E$11</c:f>
            </c:strRef>
          </c:cat>
          <c:val>
            <c:numRef>
              <c:f>Mar!$G$9:$G$11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Mar!$E$9:$E$11</c:f>
            </c:strRef>
          </c:cat>
          <c:val>
            <c:numRef>
              <c:f>Mar!$H$9:$H$11</c:f>
              <c:numCache/>
            </c:numRef>
          </c:val>
        </c:ser>
        <c:axId val="95644632"/>
        <c:axId val="737834043"/>
      </c:barChart>
      <c:catAx>
        <c:axId val="95644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7834043"/>
      </c:catAx>
      <c:valAx>
        <c:axId val="737834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6446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Apr!$P$5:$P$8</c:f>
            </c:strRef>
          </c:cat>
          <c:val>
            <c:numRef>
              <c:f>Apr!$Q$5:$Q$8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Apr!$E$9:$E$11</c:f>
            </c:strRef>
          </c:cat>
          <c:val>
            <c:numRef>
              <c:f>Apr!$G$9:$G$11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Apr!$E$9:$E$11</c:f>
            </c:strRef>
          </c:cat>
          <c:val>
            <c:numRef>
              <c:f>Apr!$H$9:$H$11</c:f>
              <c:numCache/>
            </c:numRef>
          </c:val>
        </c:ser>
        <c:axId val="86565685"/>
        <c:axId val="1797213053"/>
      </c:barChart>
      <c:catAx>
        <c:axId val="86565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7213053"/>
      </c:catAx>
      <c:valAx>
        <c:axId val="1797213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5656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May!$P$5:$P$8</c:f>
            </c:strRef>
          </c:cat>
          <c:val>
            <c:numRef>
              <c:f>May!$Q$5:$Q$8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May!$E$9:$E$11</c:f>
            </c:strRef>
          </c:cat>
          <c:val>
            <c:numRef>
              <c:f>May!$G$9:$G$11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May!$E$9:$E$11</c:f>
            </c:strRef>
          </c:cat>
          <c:val>
            <c:numRef>
              <c:f>May!$H$9:$H$11</c:f>
              <c:numCache/>
            </c:numRef>
          </c:val>
        </c:ser>
        <c:axId val="967484472"/>
        <c:axId val="1298810855"/>
      </c:barChart>
      <c:catAx>
        <c:axId val="967484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8810855"/>
      </c:catAx>
      <c:valAx>
        <c:axId val="1298810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748447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Jun!$P$5:$P$8</c:f>
            </c:strRef>
          </c:cat>
          <c:val>
            <c:numRef>
              <c:f>Jun!$Q$5:$Q$8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Jun!$E$9:$E$11</c:f>
            </c:strRef>
          </c:cat>
          <c:val>
            <c:numRef>
              <c:f>Jun!$G$9:$G$11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Jun!$E$9:$E$11</c:f>
            </c:strRef>
          </c:cat>
          <c:val>
            <c:numRef>
              <c:f>Jun!$H$9:$H$11</c:f>
              <c:numCache/>
            </c:numRef>
          </c:val>
        </c:ser>
        <c:axId val="719704634"/>
        <c:axId val="1589031528"/>
      </c:barChart>
      <c:catAx>
        <c:axId val="719704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9031528"/>
      </c:catAx>
      <c:valAx>
        <c:axId val="1589031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970463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Jul!$P$5:$P$8</c:f>
            </c:strRef>
          </c:cat>
          <c:val>
            <c:numRef>
              <c:f>Jul!$Q$5:$Q$8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Jul!$E$9:$E$11</c:f>
            </c:strRef>
          </c:cat>
          <c:val>
            <c:numRef>
              <c:f>Jul!$G$9:$G$11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Jul!$E$9:$E$11</c:f>
            </c:strRef>
          </c:cat>
          <c:val>
            <c:numRef>
              <c:f>Jul!$H$9:$H$11</c:f>
              <c:numCache/>
            </c:numRef>
          </c:val>
        </c:ser>
        <c:axId val="288170714"/>
        <c:axId val="631702531"/>
      </c:barChart>
      <c:catAx>
        <c:axId val="288170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1702531"/>
      </c:catAx>
      <c:valAx>
        <c:axId val="631702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81707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Aug!$P$5:$P$8</c:f>
            </c:strRef>
          </c:cat>
          <c:val>
            <c:numRef>
              <c:f>Aug!$Q$5:$Q$8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Aug!$E$9:$E$11</c:f>
            </c:strRef>
          </c:cat>
          <c:val>
            <c:numRef>
              <c:f>Aug!$G$9:$G$11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Aug!$E$9:$E$11</c:f>
            </c:strRef>
          </c:cat>
          <c:val>
            <c:numRef>
              <c:f>Aug!$H$9:$H$11</c:f>
              <c:numCache/>
            </c:numRef>
          </c:val>
        </c:ser>
        <c:axId val="611663126"/>
        <c:axId val="1847967833"/>
      </c:barChart>
      <c:catAx>
        <c:axId val="611663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7967833"/>
      </c:catAx>
      <c:valAx>
        <c:axId val="1847967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16631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Sep!$P$5:$P$8</c:f>
            </c:strRef>
          </c:cat>
          <c:val>
            <c:numRef>
              <c:f>Sep!$Q$5:$Q$8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Sep!$E$9:$E$11</c:f>
            </c:strRef>
          </c:cat>
          <c:val>
            <c:numRef>
              <c:f>Sep!$G$9:$G$11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Sep!$E$9:$E$11</c:f>
            </c:strRef>
          </c:cat>
          <c:val>
            <c:numRef>
              <c:f>Sep!$H$9:$H$11</c:f>
              <c:numCache/>
            </c:numRef>
          </c:val>
        </c:ser>
        <c:axId val="369601801"/>
        <c:axId val="918446271"/>
      </c:barChart>
      <c:catAx>
        <c:axId val="369601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8446271"/>
      </c:catAx>
      <c:valAx>
        <c:axId val="918446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96018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Oct!$P$5:$P$8</c:f>
            </c:strRef>
          </c:cat>
          <c:val>
            <c:numRef>
              <c:f>Oct!$Q$5:$Q$8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Oct!$E$9:$E$11</c:f>
            </c:strRef>
          </c:cat>
          <c:val>
            <c:numRef>
              <c:f>Oct!$G$9:$G$11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Oct!$E$9:$E$11</c:f>
            </c:strRef>
          </c:cat>
          <c:val>
            <c:numRef>
              <c:f>Oct!$H$9:$H$11</c:f>
              <c:numCache/>
            </c:numRef>
          </c:val>
        </c:ser>
        <c:axId val="1137211035"/>
        <c:axId val="2104712387"/>
      </c:barChart>
      <c:catAx>
        <c:axId val="1137211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4712387"/>
      </c:catAx>
      <c:valAx>
        <c:axId val="2104712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72110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Nov!$P$5:$P$8</c:f>
            </c:strRef>
          </c:cat>
          <c:val>
            <c:numRef>
              <c:f>Nov!$Q$5:$Q$8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Nov!$E$9:$E$11</c:f>
            </c:strRef>
          </c:cat>
          <c:val>
            <c:numRef>
              <c:f>Nov!$G$9:$G$11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Nov!$E$9:$E$11</c:f>
            </c:strRef>
          </c:cat>
          <c:val>
            <c:numRef>
              <c:f>Nov!$H$9:$H$11</c:f>
              <c:numCache/>
            </c:numRef>
          </c:val>
        </c:ser>
        <c:axId val="1731792881"/>
        <c:axId val="977866484"/>
      </c:barChart>
      <c:catAx>
        <c:axId val="1731792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7866484"/>
      </c:catAx>
      <c:valAx>
        <c:axId val="977866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179288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Dec!$P$5:$P$8</c:f>
            </c:strRef>
          </c:cat>
          <c:val>
            <c:numRef>
              <c:f>Dec!$Q$5:$Q$8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Actual vs Target Allocation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Dec!$E$9:$E$11</c:f>
            </c:strRef>
          </c:cat>
          <c:val>
            <c:numRef>
              <c:f>Dec!$G$9:$G$11</c:f>
              <c:numCache/>
            </c:numRef>
          </c:val>
        </c:ser>
        <c:ser>
          <c:idx val="1"/>
          <c:order val="1"/>
          <c:tx>
            <c:v>Target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Dec!$E$9:$E$11</c:f>
            </c:strRef>
          </c:cat>
          <c:val>
            <c:numRef>
              <c:f>Dec!$H$9:$H$11</c:f>
              <c:numCache/>
            </c:numRef>
          </c:val>
        </c:ser>
        <c:axId val="1344450641"/>
        <c:axId val="913429427"/>
      </c:barChart>
      <c:catAx>
        <c:axId val="1344450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3429427"/>
      </c:catAx>
      <c:valAx>
        <c:axId val="913429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44506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12</xdr:row>
      <xdr:rowOff>0</xdr:rowOff>
    </xdr:from>
    <xdr:ext cx="8181975" cy="3400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30</xdr:row>
      <xdr:rowOff>0</xdr:rowOff>
    </xdr:from>
    <xdr:ext cx="5105400" cy="3400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5810250" cy="3209925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30</xdr:row>
      <xdr:rowOff>0</xdr:rowOff>
    </xdr:from>
    <xdr:ext cx="5810250" cy="320992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4" width="13.0"/>
    <col customWidth="1" min="5" max="5" width="14.0"/>
    <col customWidth="1" min="6" max="7" width="15.0"/>
    <col customWidth="1" min="8" max="8" width="14.0"/>
    <col customWidth="1" min="9" max="9" width="3.0"/>
    <col customWidth="1" min="10" max="19" width="15.0"/>
    <col customWidth="1" min="20" max="20" width="3.0"/>
    <col customWidth="1" min="21" max="21" width="20.0"/>
    <col customWidth="1" min="22" max="22" width="14.0"/>
    <col customWidth="1" min="23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3">
      <c r="A3" s="4" t="s">
        <v>5</v>
      </c>
      <c r="B3" s="2"/>
      <c r="C3" s="2"/>
      <c r="D3" s="2"/>
      <c r="E3" s="2"/>
      <c r="F3" s="2"/>
      <c r="G3" s="2"/>
      <c r="H3" s="3"/>
      <c r="J3" s="5" t="s">
        <v>7</v>
      </c>
      <c r="K3" s="2"/>
      <c r="L3" s="2"/>
      <c r="M3" s="2"/>
      <c r="N3" s="2"/>
      <c r="O3" s="2"/>
      <c r="P3" s="2"/>
      <c r="Q3" s="2"/>
      <c r="R3" s="2"/>
      <c r="S3" s="3"/>
      <c r="U3" s="6" t="s">
        <v>8</v>
      </c>
    </row>
    <row r="4">
      <c r="A4" s="7" t="s">
        <v>12</v>
      </c>
      <c r="B4" s="7" t="s">
        <v>11</v>
      </c>
      <c r="C4" s="7" t="s">
        <v>14</v>
      </c>
      <c r="D4" s="7" t="s">
        <v>15</v>
      </c>
      <c r="E4" s="7" t="s">
        <v>16</v>
      </c>
      <c r="F4" s="7" t="s">
        <v>18</v>
      </c>
      <c r="G4" s="7" t="s">
        <v>19</v>
      </c>
      <c r="H4" s="7" t="s">
        <v>20</v>
      </c>
      <c r="J4" s="8" t="s">
        <v>22</v>
      </c>
      <c r="K4" s="3"/>
      <c r="L4" s="8" t="s">
        <v>24</v>
      </c>
      <c r="M4" s="3"/>
      <c r="N4" s="8" t="s">
        <v>28</v>
      </c>
      <c r="O4" s="3"/>
      <c r="P4" s="8" t="s">
        <v>29</v>
      </c>
      <c r="Q4" s="3"/>
      <c r="R4" s="8" t="s">
        <v>30</v>
      </c>
      <c r="S4" s="3"/>
      <c r="U4" s="9" t="s">
        <v>25</v>
      </c>
      <c r="V4" s="9" t="s">
        <v>26</v>
      </c>
    </row>
    <row r="5" ht="21.75" customHeight="1">
      <c r="A5" s="12" t="s">
        <v>31</v>
      </c>
      <c r="B5" s="14">
        <f>Jan!B12</f>
        <v>80000</v>
      </c>
      <c r="C5" s="14">
        <f>Jan!B24</f>
        <v>42000</v>
      </c>
      <c r="D5" s="14">
        <f>Jan!B35</f>
        <v>13000</v>
      </c>
      <c r="E5" s="14">
        <f>Jan!B46</f>
        <v>21000</v>
      </c>
      <c r="F5" s="14">
        <f t="shared" ref="F5:F16" si="1">C5+D5</f>
        <v>55000</v>
      </c>
      <c r="G5" s="14">
        <f t="shared" ref="G5:G16" si="2">B5-C5-D5-E5</f>
        <v>4000</v>
      </c>
      <c r="H5" s="21">
        <f t="shared" ref="H5:H18" si="3">IF(B5=0,0,E5/B5)</f>
        <v>0.2625</v>
      </c>
      <c r="J5" s="13">
        <f>B17</f>
        <v>80000</v>
      </c>
      <c r="K5" s="3"/>
      <c r="L5" s="15">
        <f>F17</f>
        <v>55000</v>
      </c>
      <c r="M5" s="3"/>
      <c r="N5" s="17">
        <f>E17</f>
        <v>21000</v>
      </c>
      <c r="O5" s="3"/>
      <c r="P5" s="18">
        <f>G17</f>
        <v>4000</v>
      </c>
      <c r="Q5" s="3"/>
      <c r="R5" s="23">
        <f>H17</f>
        <v>0.2625</v>
      </c>
      <c r="S5" s="3"/>
      <c r="U5" s="19" t="s">
        <v>14</v>
      </c>
      <c r="V5" s="20">
        <f>C17</f>
        <v>42000</v>
      </c>
    </row>
    <row r="6">
      <c r="A6" s="12" t="s">
        <v>41</v>
      </c>
      <c r="B6" s="14">
        <f>Feb!B12</f>
        <v>0</v>
      </c>
      <c r="C6" s="14">
        <f>Feb!B24</f>
        <v>0</v>
      </c>
      <c r="D6" s="14">
        <f>Feb!B35</f>
        <v>0</v>
      </c>
      <c r="E6" s="14">
        <f>Feb!B46</f>
        <v>0</v>
      </c>
      <c r="F6" s="14">
        <f t="shared" si="1"/>
        <v>0</v>
      </c>
      <c r="G6" s="14">
        <f t="shared" si="2"/>
        <v>0</v>
      </c>
      <c r="H6" s="21">
        <f t="shared" si="3"/>
        <v>0</v>
      </c>
      <c r="U6" s="19" t="s">
        <v>15</v>
      </c>
      <c r="V6" s="20">
        <f>D17</f>
        <v>13000</v>
      </c>
    </row>
    <row r="7">
      <c r="A7" s="12" t="s">
        <v>42</v>
      </c>
      <c r="B7" s="14">
        <f>Mar!B12</f>
        <v>0</v>
      </c>
      <c r="C7" s="14">
        <f>Mar!B24</f>
        <v>0</v>
      </c>
      <c r="D7" s="14">
        <f>Mar!B35</f>
        <v>0</v>
      </c>
      <c r="E7" s="14">
        <f>Mar!B46</f>
        <v>0</v>
      </c>
      <c r="F7" s="14">
        <f t="shared" si="1"/>
        <v>0</v>
      </c>
      <c r="G7" s="14">
        <f t="shared" si="2"/>
        <v>0</v>
      </c>
      <c r="H7" s="21">
        <f t="shared" si="3"/>
        <v>0</v>
      </c>
      <c r="J7" s="22" t="s">
        <v>44</v>
      </c>
      <c r="K7" s="2"/>
      <c r="L7" s="2"/>
      <c r="M7" s="2"/>
      <c r="N7" s="2"/>
      <c r="O7" s="2"/>
      <c r="P7" s="2"/>
      <c r="Q7" s="2"/>
      <c r="R7" s="2"/>
      <c r="S7" s="3"/>
      <c r="U7" s="19" t="s">
        <v>16</v>
      </c>
      <c r="V7" s="20">
        <f>E17</f>
        <v>21000</v>
      </c>
    </row>
    <row r="8">
      <c r="A8" s="12" t="s">
        <v>45</v>
      </c>
      <c r="B8" s="14">
        <f>Apr!B12</f>
        <v>0</v>
      </c>
      <c r="C8" s="14">
        <f>Apr!B24</f>
        <v>0</v>
      </c>
      <c r="D8" s="14">
        <f>Apr!B35</f>
        <v>0</v>
      </c>
      <c r="E8" s="14">
        <f>Apr!B46</f>
        <v>0</v>
      </c>
      <c r="F8" s="14">
        <f t="shared" si="1"/>
        <v>0</v>
      </c>
      <c r="G8" s="14">
        <f t="shared" si="2"/>
        <v>0</v>
      </c>
      <c r="H8" s="21">
        <f t="shared" si="3"/>
        <v>0</v>
      </c>
      <c r="J8" s="7" t="s">
        <v>25</v>
      </c>
      <c r="K8" s="7" t="s">
        <v>35</v>
      </c>
      <c r="L8" s="7" t="s">
        <v>36</v>
      </c>
      <c r="M8" s="7" t="s">
        <v>37</v>
      </c>
      <c r="N8" s="7" t="s">
        <v>38</v>
      </c>
      <c r="U8" s="19" t="s">
        <v>48</v>
      </c>
      <c r="V8" s="20">
        <f>MAX(B17-C17-D17-E17,0)</f>
        <v>4000</v>
      </c>
    </row>
    <row r="9">
      <c r="A9" s="12" t="s">
        <v>49</v>
      </c>
      <c r="B9" s="14">
        <f>May!B12</f>
        <v>0</v>
      </c>
      <c r="C9" s="14">
        <f>May!B24</f>
        <v>0</v>
      </c>
      <c r="D9" s="14">
        <f>May!B35</f>
        <v>0</v>
      </c>
      <c r="E9" s="14">
        <f>May!B46</f>
        <v>0</v>
      </c>
      <c r="F9" s="14">
        <f t="shared" si="1"/>
        <v>0</v>
      </c>
      <c r="G9" s="14">
        <f t="shared" si="2"/>
        <v>0</v>
      </c>
      <c r="H9" s="21">
        <f t="shared" si="3"/>
        <v>0</v>
      </c>
      <c r="J9" s="12" t="s">
        <v>40</v>
      </c>
      <c r="K9" s="14">
        <f>C17</f>
        <v>42000</v>
      </c>
      <c r="L9" s="21">
        <f t="shared" ref="L9:L11" si="4">IF($B$17=0,0,K9/$B$17)</f>
        <v>0.525</v>
      </c>
      <c r="M9" s="24">
        <v>0.5</v>
      </c>
      <c r="N9" s="25" t="str">
        <f t="shared" ref="N9:N10" si="5">IF(L9&lt;=M9,"✅ On Track","⚠️ Over Budget")</f>
        <v>⚠️ Over Budget</v>
      </c>
    </row>
    <row r="10">
      <c r="A10" s="12" t="s">
        <v>61</v>
      </c>
      <c r="B10" s="14">
        <f>Jun!B12</f>
        <v>0</v>
      </c>
      <c r="C10" s="14">
        <f>Jun!B24</f>
        <v>0</v>
      </c>
      <c r="D10" s="14">
        <f>Jun!B35</f>
        <v>0</v>
      </c>
      <c r="E10" s="14">
        <f>Jun!B46</f>
        <v>0</v>
      </c>
      <c r="F10" s="14">
        <f t="shared" si="1"/>
        <v>0</v>
      </c>
      <c r="G10" s="14">
        <f t="shared" si="2"/>
        <v>0</v>
      </c>
      <c r="H10" s="21">
        <f t="shared" si="3"/>
        <v>0</v>
      </c>
      <c r="J10" s="12" t="s">
        <v>43</v>
      </c>
      <c r="K10" s="14">
        <f>D17</f>
        <v>13000</v>
      </c>
      <c r="L10" s="21">
        <f t="shared" si="4"/>
        <v>0.1625</v>
      </c>
      <c r="M10" s="24">
        <v>0.3</v>
      </c>
      <c r="N10" s="25" t="str">
        <f t="shared" si="5"/>
        <v>✅ On Track</v>
      </c>
    </row>
    <row r="11">
      <c r="A11" s="12" t="s">
        <v>70</v>
      </c>
      <c r="B11" s="14">
        <f>Jul!B12</f>
        <v>0</v>
      </c>
      <c r="C11" s="14">
        <f>Jul!B24</f>
        <v>0</v>
      </c>
      <c r="D11" s="14">
        <f>Jul!B35</f>
        <v>0</v>
      </c>
      <c r="E11" s="14">
        <f>Jul!B46</f>
        <v>0</v>
      </c>
      <c r="F11" s="14">
        <f t="shared" si="1"/>
        <v>0</v>
      </c>
      <c r="G11" s="14">
        <f t="shared" si="2"/>
        <v>0</v>
      </c>
      <c r="H11" s="21">
        <f t="shared" si="3"/>
        <v>0</v>
      </c>
      <c r="J11" s="12" t="s">
        <v>46</v>
      </c>
      <c r="K11" s="14">
        <f>E17</f>
        <v>21000</v>
      </c>
      <c r="L11" s="21">
        <f t="shared" si="4"/>
        <v>0.2625</v>
      </c>
      <c r="M11" s="24">
        <v>0.2</v>
      </c>
      <c r="N11" s="25" t="str">
        <f>IF(L11&gt;=M11,"✅ On Track","⚠️ Below Target")</f>
        <v>✅ On Track</v>
      </c>
    </row>
    <row r="12">
      <c r="A12" s="12" t="s">
        <v>79</v>
      </c>
      <c r="B12" s="14">
        <f>Aug!B12</f>
        <v>0</v>
      </c>
      <c r="C12" s="14">
        <f>Aug!B24</f>
        <v>0</v>
      </c>
      <c r="D12" s="14">
        <f>Aug!B35</f>
        <v>0</v>
      </c>
      <c r="E12" s="14">
        <f>Aug!B46</f>
        <v>0</v>
      </c>
      <c r="F12" s="14">
        <f t="shared" si="1"/>
        <v>0</v>
      </c>
      <c r="G12" s="14">
        <f t="shared" si="2"/>
        <v>0</v>
      </c>
      <c r="H12" s="21">
        <f t="shared" si="3"/>
        <v>0</v>
      </c>
    </row>
    <row r="13">
      <c r="A13" s="12" t="s">
        <v>83</v>
      </c>
      <c r="B13" s="14">
        <f>Sep!B12</f>
        <v>0</v>
      </c>
      <c r="C13" s="14">
        <f>Sep!B24</f>
        <v>0</v>
      </c>
      <c r="D13" s="14">
        <f>Sep!B35</f>
        <v>0</v>
      </c>
      <c r="E13" s="14">
        <f>Sep!B46</f>
        <v>0</v>
      </c>
      <c r="F13" s="14">
        <f t="shared" si="1"/>
        <v>0</v>
      </c>
      <c r="G13" s="14">
        <f t="shared" si="2"/>
        <v>0</v>
      </c>
      <c r="H13" s="21">
        <f t="shared" si="3"/>
        <v>0</v>
      </c>
    </row>
    <row r="14">
      <c r="A14" s="12" t="s">
        <v>87</v>
      </c>
      <c r="B14" s="14">
        <f>Oct!B12</f>
        <v>0</v>
      </c>
      <c r="C14" s="14">
        <f>Oct!B24</f>
        <v>0</v>
      </c>
      <c r="D14" s="14">
        <f>Oct!B35</f>
        <v>0</v>
      </c>
      <c r="E14" s="14">
        <f>Oct!B46</f>
        <v>0</v>
      </c>
      <c r="F14" s="14">
        <f t="shared" si="1"/>
        <v>0</v>
      </c>
      <c r="G14" s="14">
        <f t="shared" si="2"/>
        <v>0</v>
      </c>
      <c r="H14" s="21">
        <f t="shared" si="3"/>
        <v>0</v>
      </c>
    </row>
    <row r="15">
      <c r="A15" s="12" t="s">
        <v>90</v>
      </c>
      <c r="B15" s="14">
        <f>Nov!B12</f>
        <v>0</v>
      </c>
      <c r="C15" s="14">
        <f>Nov!B24</f>
        <v>0</v>
      </c>
      <c r="D15" s="14">
        <f>Nov!B35</f>
        <v>0</v>
      </c>
      <c r="E15" s="14">
        <f>Nov!B46</f>
        <v>0</v>
      </c>
      <c r="F15" s="14">
        <f t="shared" si="1"/>
        <v>0</v>
      </c>
      <c r="G15" s="14">
        <f t="shared" si="2"/>
        <v>0</v>
      </c>
      <c r="H15" s="21">
        <f t="shared" si="3"/>
        <v>0</v>
      </c>
    </row>
    <row r="16">
      <c r="A16" s="12" t="s">
        <v>92</v>
      </c>
      <c r="B16" s="14">
        <f>Dec!B12</f>
        <v>0</v>
      </c>
      <c r="C16" s="14">
        <f>Dec!B24</f>
        <v>0</v>
      </c>
      <c r="D16" s="14">
        <f>Dec!B35</f>
        <v>0</v>
      </c>
      <c r="E16" s="14">
        <f>Dec!B46</f>
        <v>0</v>
      </c>
      <c r="F16" s="14">
        <f t="shared" si="1"/>
        <v>0</v>
      </c>
      <c r="G16" s="14">
        <f t="shared" si="2"/>
        <v>0</v>
      </c>
      <c r="H16" s="21">
        <f t="shared" si="3"/>
        <v>0</v>
      </c>
    </row>
    <row r="17">
      <c r="A17" s="36" t="s">
        <v>93</v>
      </c>
      <c r="B17" s="37">
        <f t="shared" ref="B17:G17" si="6">SUM(B5:B16)</f>
        <v>80000</v>
      </c>
      <c r="C17" s="37">
        <f t="shared" si="6"/>
        <v>42000</v>
      </c>
      <c r="D17" s="37">
        <f t="shared" si="6"/>
        <v>13000</v>
      </c>
      <c r="E17" s="37">
        <f t="shared" si="6"/>
        <v>21000</v>
      </c>
      <c r="F17" s="37">
        <f t="shared" si="6"/>
        <v>55000</v>
      </c>
      <c r="G17" s="37">
        <f t="shared" si="6"/>
        <v>4000</v>
      </c>
      <c r="H17" s="39">
        <f t="shared" si="3"/>
        <v>0.2625</v>
      </c>
    </row>
    <row r="18">
      <c r="A18" s="40" t="s">
        <v>94</v>
      </c>
      <c r="B18" s="41">
        <f t="shared" ref="B18:G18" si="7">AVERAGE(B5:B16)</f>
        <v>6666.666667</v>
      </c>
      <c r="C18" s="41">
        <f t="shared" si="7"/>
        <v>3500</v>
      </c>
      <c r="D18" s="41">
        <f t="shared" si="7"/>
        <v>1083.333333</v>
      </c>
      <c r="E18" s="41">
        <f t="shared" si="7"/>
        <v>1750</v>
      </c>
      <c r="F18" s="41">
        <f t="shared" si="7"/>
        <v>4583.333333</v>
      </c>
      <c r="G18" s="41">
        <f t="shared" si="7"/>
        <v>333.3333333</v>
      </c>
      <c r="H18" s="42">
        <f t="shared" si="3"/>
        <v>0.2625</v>
      </c>
    </row>
    <row r="20">
      <c r="A20" s="38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4:K4"/>
    <mergeCell ref="J5:K5"/>
    <mergeCell ref="L5:M5"/>
    <mergeCell ref="N5:O5"/>
    <mergeCell ref="P5:Q5"/>
    <mergeCell ref="R5:S5"/>
    <mergeCell ref="J7:S7"/>
    <mergeCell ref="A1:S1"/>
    <mergeCell ref="A3:H3"/>
    <mergeCell ref="J3:S3"/>
    <mergeCell ref="L4:M4"/>
    <mergeCell ref="N4:O4"/>
    <mergeCell ref="P4:Q4"/>
    <mergeCell ref="R4:S4"/>
  </mergeCells>
  <conditionalFormatting sqref="P5:Q5">
    <cfRule type="cellIs" dxfId="0" priority="1" operator="lessThan">
      <formula>0</formula>
    </cfRule>
  </conditionalFormatting>
  <conditionalFormatting sqref="P5:Q5">
    <cfRule type="cellIs" dxfId="1" priority="2" operator="greaterThanOrEqual">
      <formula>0</formula>
    </cfRule>
  </conditionalFormatting>
  <conditionalFormatting sqref="N9">
    <cfRule type="expression" dxfId="2" priority="3">
      <formula>ISNUMBER(SEARCH("⚠️",N9))</formula>
    </cfRule>
  </conditionalFormatting>
  <conditionalFormatting sqref="N9">
    <cfRule type="expression" dxfId="3" priority="4">
      <formula>ISNUMBER(SEARCH("✅",N9))</formula>
    </cfRule>
  </conditionalFormatting>
  <conditionalFormatting sqref="N10">
    <cfRule type="expression" dxfId="2" priority="5">
      <formula>ISNUMBER(SEARCH("⚠️",N10))</formula>
    </cfRule>
  </conditionalFormatting>
  <conditionalFormatting sqref="N10">
    <cfRule type="expression" dxfId="3" priority="6">
      <formula>ISNUMBER(SEARCH("✅",N10))</formula>
    </cfRule>
  </conditionalFormatting>
  <conditionalFormatting sqref="N11">
    <cfRule type="expression" dxfId="2" priority="7">
      <formula>ISNUMBER(SEARCH("⚠️",N11))</formula>
    </cfRule>
  </conditionalFormatting>
  <conditionalFormatting sqref="N11">
    <cfRule type="expression" dxfId="3" priority="8">
      <formula>ISNUMBER(SEARCH("✅",N11))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>
        <v>60000.0</v>
      </c>
      <c r="E5" s="13">
        <f>B12</f>
        <v>80000</v>
      </c>
      <c r="F5" s="3"/>
      <c r="G5" s="15">
        <f>B24</f>
        <v>42000</v>
      </c>
      <c r="H5" s="3"/>
      <c r="I5" s="16">
        <f>B35</f>
        <v>13000</v>
      </c>
      <c r="J5" s="3"/>
      <c r="K5" s="17">
        <f>B46</f>
        <v>21000</v>
      </c>
      <c r="L5" s="3"/>
      <c r="M5" s="18">
        <f>B12-B24-B35-B46</f>
        <v>4000</v>
      </c>
      <c r="N5" s="3"/>
      <c r="P5" s="19" t="s">
        <v>14</v>
      </c>
      <c r="Q5" s="20">
        <f>B24</f>
        <v>42000</v>
      </c>
    </row>
    <row r="6">
      <c r="A6" s="10" t="s">
        <v>32</v>
      </c>
      <c r="B6" s="11">
        <v>15000.0</v>
      </c>
      <c r="P6" s="19" t="s">
        <v>15</v>
      </c>
      <c r="Q6" s="20">
        <f>B35</f>
        <v>13000</v>
      </c>
    </row>
    <row r="7">
      <c r="A7" s="10" t="s">
        <v>33</v>
      </c>
      <c r="B7" s="11">
        <v>5000.0</v>
      </c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21000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4000</v>
      </c>
    </row>
    <row r="9">
      <c r="A9" s="10"/>
      <c r="B9" s="11"/>
      <c r="E9" s="12" t="s">
        <v>40</v>
      </c>
      <c r="F9" s="14">
        <f>B24</f>
        <v>42000</v>
      </c>
      <c r="G9" s="21">
        <f t="shared" ref="G9:G11" si="1">IF($B$12=0,0,F9/$B$12)</f>
        <v>0.525</v>
      </c>
      <c r="H9" s="24">
        <v>0.5</v>
      </c>
      <c r="I9" s="25" t="str">
        <f t="shared" ref="I9:I10" si="2">IF(G9&lt;=H9,"✅ On Track","⚠️ Over Budget")</f>
        <v>⚠️ Over Budget</v>
      </c>
    </row>
    <row r="10">
      <c r="A10" s="10"/>
      <c r="B10" s="11"/>
      <c r="E10" s="12" t="s">
        <v>43</v>
      </c>
      <c r="F10" s="14">
        <f>B35</f>
        <v>13000</v>
      </c>
      <c r="G10" s="21">
        <f t="shared" si="1"/>
        <v>0.1625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21000</v>
      </c>
      <c r="G11" s="21">
        <f t="shared" si="1"/>
        <v>0.2625</v>
      </c>
      <c r="H11" s="24">
        <v>0.2</v>
      </c>
      <c r="I11" s="25" t="str">
        <f>IF(G11&gt;=H11,"✅ On Track","⚠️ Below Target")</f>
        <v>✅ On Track</v>
      </c>
    </row>
    <row r="12">
      <c r="A12" s="26" t="s">
        <v>47</v>
      </c>
      <c r="B12" s="27">
        <f>SUM(B5:B11)</f>
        <v>80000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>
        <v>18000.0</v>
      </c>
    </row>
    <row r="17">
      <c r="A17" s="10" t="s">
        <v>52</v>
      </c>
      <c r="B17" s="11">
        <v>6000.0</v>
      </c>
    </row>
    <row r="18">
      <c r="A18" s="10" t="s">
        <v>53</v>
      </c>
      <c r="B18" s="11">
        <v>2500.0</v>
      </c>
    </row>
    <row r="19">
      <c r="A19" s="10" t="s">
        <v>54</v>
      </c>
      <c r="B19" s="11">
        <v>8000.0</v>
      </c>
    </row>
    <row r="20">
      <c r="A20" s="10" t="s">
        <v>55</v>
      </c>
      <c r="B20" s="11">
        <v>2000.0</v>
      </c>
    </row>
    <row r="21" ht="15.75" customHeight="1">
      <c r="A21" s="10" t="s">
        <v>56</v>
      </c>
      <c r="B21" s="11">
        <v>3000.0</v>
      </c>
    </row>
    <row r="22" ht="15.75" customHeight="1">
      <c r="A22" s="10" t="s">
        <v>57</v>
      </c>
      <c r="B22" s="11">
        <v>1500.0</v>
      </c>
    </row>
    <row r="23" ht="15.75" customHeight="1">
      <c r="A23" s="10" t="s">
        <v>58</v>
      </c>
      <c r="B23" s="11">
        <v>1000.0</v>
      </c>
    </row>
    <row r="24" ht="15.75" customHeight="1">
      <c r="A24" s="29" t="s">
        <v>59</v>
      </c>
      <c r="B24" s="30">
        <f>SUM(B16:B23)</f>
        <v>42000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>
        <v>4000.0</v>
      </c>
    </row>
    <row r="29" ht="15.75" customHeight="1">
      <c r="A29" s="10" t="s">
        <v>63</v>
      </c>
      <c r="B29" s="11">
        <v>3000.0</v>
      </c>
    </row>
    <row r="30" ht="15.75" customHeight="1">
      <c r="A30" s="10" t="s">
        <v>64</v>
      </c>
      <c r="B30" s="11">
        <v>1000.0</v>
      </c>
    </row>
    <row r="31" ht="15.75" customHeight="1">
      <c r="A31" s="10" t="s">
        <v>65</v>
      </c>
      <c r="B31" s="11">
        <v>2000.0</v>
      </c>
    </row>
    <row r="32" ht="15.75" customHeight="1">
      <c r="A32" s="10" t="s">
        <v>66</v>
      </c>
      <c r="B32" s="11">
        <v>1000.0</v>
      </c>
    </row>
    <row r="33" ht="15.75" customHeight="1">
      <c r="A33" s="10" t="s">
        <v>67</v>
      </c>
      <c r="B33" s="11">
        <v>1500.0</v>
      </c>
    </row>
    <row r="34" ht="15.75" customHeight="1">
      <c r="A34" s="10" t="s">
        <v>68</v>
      </c>
      <c r="B34" s="11">
        <v>500.0</v>
      </c>
    </row>
    <row r="35" ht="15.75" customHeight="1">
      <c r="A35" s="32" t="s">
        <v>69</v>
      </c>
      <c r="B35" s="33">
        <f>SUM(B28:B34)</f>
        <v>13000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>
        <v>10000.0</v>
      </c>
    </row>
    <row r="40" ht="15.75" customHeight="1">
      <c r="A40" s="10" t="s">
        <v>73</v>
      </c>
      <c r="B40" s="11">
        <v>3000.0</v>
      </c>
    </row>
    <row r="41" ht="15.75" customHeight="1">
      <c r="A41" s="10" t="s">
        <v>74</v>
      </c>
      <c r="B41" s="11">
        <v>2000.0</v>
      </c>
    </row>
    <row r="42" ht="15.75" customHeight="1">
      <c r="A42" s="10" t="s">
        <v>75</v>
      </c>
      <c r="B42" s="11">
        <v>3000.0</v>
      </c>
    </row>
    <row r="43" ht="15.75" customHeight="1">
      <c r="A43" s="10" t="s">
        <v>76</v>
      </c>
      <c r="B43" s="11">
        <v>2000.0</v>
      </c>
    </row>
    <row r="44" ht="15.75" customHeight="1">
      <c r="A44" s="10" t="s">
        <v>77</v>
      </c>
      <c r="B44" s="11">
        <v>1000.0</v>
      </c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21000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 t="s">
        <v>88</v>
      </c>
      <c r="B50" s="11">
        <v>50000.0</v>
      </c>
      <c r="C50" s="11">
        <v>54000.0</v>
      </c>
    </row>
    <row r="51" ht="15.75" customHeight="1">
      <c r="A51" s="10" t="s">
        <v>89</v>
      </c>
      <c r="B51" s="11">
        <v>20000.0</v>
      </c>
      <c r="C51" s="11">
        <v>22000.0</v>
      </c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70000</v>
      </c>
      <c r="C54" s="37">
        <f t="shared" si="3"/>
        <v>76000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5.0"/>
    <col customWidth="1" min="4" max="4" width="3.0"/>
    <col customWidth="1" min="5" max="5" width="15.0"/>
    <col customWidth="1" min="6" max="14" width="13.0"/>
    <col customWidth="1" min="15" max="15" width="3.0"/>
    <col customWidth="1" min="16" max="16" width="24.0"/>
    <col customWidth="1" min="17" max="17" width="14.0"/>
    <col customWidth="1" min="18" max="26" width="8.71"/>
  </cols>
  <sheetData>
    <row r="1" ht="31.5" customHeight="1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4" t="s">
        <v>4</v>
      </c>
      <c r="B3" s="3"/>
      <c r="E3" s="5" t="s">
        <v>6</v>
      </c>
      <c r="F3" s="2"/>
      <c r="G3" s="2"/>
      <c r="H3" s="2"/>
      <c r="I3" s="2"/>
      <c r="J3" s="2"/>
      <c r="K3" s="2"/>
      <c r="L3" s="2"/>
      <c r="M3" s="2"/>
      <c r="N3" s="3"/>
      <c r="P3" s="6" t="s">
        <v>8</v>
      </c>
    </row>
    <row r="4">
      <c r="A4" s="7" t="s">
        <v>9</v>
      </c>
      <c r="B4" s="7" t="s">
        <v>10</v>
      </c>
      <c r="E4" s="8" t="s">
        <v>11</v>
      </c>
      <c r="F4" s="3"/>
      <c r="G4" s="8" t="s">
        <v>13</v>
      </c>
      <c r="H4" s="3"/>
      <c r="I4" s="8" t="s">
        <v>17</v>
      </c>
      <c r="J4" s="3"/>
      <c r="K4" s="8" t="s">
        <v>21</v>
      </c>
      <c r="L4" s="3"/>
      <c r="M4" s="8" t="s">
        <v>23</v>
      </c>
      <c r="N4" s="3"/>
      <c r="P4" s="9" t="s">
        <v>25</v>
      </c>
      <c r="Q4" s="9" t="s">
        <v>26</v>
      </c>
    </row>
    <row r="5" ht="21.75" customHeight="1">
      <c r="A5" s="10" t="s">
        <v>27</v>
      </c>
      <c r="B5" s="11"/>
      <c r="E5" s="13">
        <f>B12</f>
        <v>0</v>
      </c>
      <c r="F5" s="3"/>
      <c r="G5" s="15">
        <f>B24</f>
        <v>0</v>
      </c>
      <c r="H5" s="3"/>
      <c r="I5" s="16">
        <f>B35</f>
        <v>0</v>
      </c>
      <c r="J5" s="3"/>
      <c r="K5" s="17">
        <f>B46</f>
        <v>0</v>
      </c>
      <c r="L5" s="3"/>
      <c r="M5" s="18">
        <f>B12-B24-B35-B46</f>
        <v>0</v>
      </c>
      <c r="N5" s="3"/>
      <c r="P5" s="19" t="s">
        <v>14</v>
      </c>
      <c r="Q5" s="20">
        <f>B24</f>
        <v>0</v>
      </c>
    </row>
    <row r="6">
      <c r="A6" s="10" t="s">
        <v>32</v>
      </c>
      <c r="B6" s="11"/>
      <c r="P6" s="19" t="s">
        <v>15</v>
      </c>
      <c r="Q6" s="20">
        <f>B35</f>
        <v>0</v>
      </c>
    </row>
    <row r="7">
      <c r="A7" s="10" t="s">
        <v>33</v>
      </c>
      <c r="B7" s="11"/>
      <c r="E7" s="22" t="s">
        <v>34</v>
      </c>
      <c r="F7" s="2"/>
      <c r="G7" s="2"/>
      <c r="H7" s="2"/>
      <c r="I7" s="2"/>
      <c r="J7" s="2"/>
      <c r="K7" s="2"/>
      <c r="L7" s="2"/>
      <c r="M7" s="2"/>
      <c r="N7" s="3"/>
      <c r="P7" s="19" t="s">
        <v>16</v>
      </c>
      <c r="Q7" s="20">
        <f>B46</f>
        <v>0</v>
      </c>
    </row>
    <row r="8">
      <c r="A8" s="10"/>
      <c r="B8" s="11"/>
      <c r="E8" s="7" t="s">
        <v>25</v>
      </c>
      <c r="F8" s="7" t="s">
        <v>35</v>
      </c>
      <c r="G8" s="7" t="s">
        <v>36</v>
      </c>
      <c r="H8" s="7" t="s">
        <v>37</v>
      </c>
      <c r="I8" s="7" t="s">
        <v>38</v>
      </c>
      <c r="P8" s="19" t="s">
        <v>39</v>
      </c>
      <c r="Q8" s="20">
        <f>MAX(B12-B24-B35-B46,0)</f>
        <v>0</v>
      </c>
    </row>
    <row r="9">
      <c r="A9" s="10"/>
      <c r="B9" s="11"/>
      <c r="E9" s="12" t="s">
        <v>40</v>
      </c>
      <c r="F9" s="14">
        <f>B24</f>
        <v>0</v>
      </c>
      <c r="G9" s="21">
        <f t="shared" ref="G9:G11" si="1">IF($B$12=0,0,F9/$B$12)</f>
        <v>0</v>
      </c>
      <c r="H9" s="24">
        <v>0.5</v>
      </c>
      <c r="I9" s="25" t="str">
        <f t="shared" ref="I9:I10" si="2">IF(G9&lt;=H9,"✅ On Track","⚠️ Over Budget")</f>
        <v>✅ On Track</v>
      </c>
    </row>
    <row r="10">
      <c r="A10" s="10"/>
      <c r="B10" s="11"/>
      <c r="E10" s="12" t="s">
        <v>43</v>
      </c>
      <c r="F10" s="14">
        <f>B35</f>
        <v>0</v>
      </c>
      <c r="G10" s="21">
        <f t="shared" si="1"/>
        <v>0</v>
      </c>
      <c r="H10" s="24">
        <v>0.3</v>
      </c>
      <c r="I10" s="25" t="str">
        <f t="shared" si="2"/>
        <v>✅ On Track</v>
      </c>
    </row>
    <row r="11">
      <c r="A11" s="10"/>
      <c r="B11" s="11"/>
      <c r="E11" s="12" t="s">
        <v>46</v>
      </c>
      <c r="F11" s="14">
        <f>B46</f>
        <v>0</v>
      </c>
      <c r="G11" s="21">
        <f t="shared" si="1"/>
        <v>0</v>
      </c>
      <c r="H11" s="24">
        <v>0.2</v>
      </c>
      <c r="I11" s="25" t="str">
        <f>IF(G11&gt;=H11,"✅ On Track","⚠️ Below Target")</f>
        <v>⚠️ Below Target</v>
      </c>
    </row>
    <row r="12">
      <c r="A12" s="26" t="s">
        <v>47</v>
      </c>
      <c r="B12" s="27">
        <f>SUM(B5:B11)</f>
        <v>0</v>
      </c>
    </row>
    <row r="14">
      <c r="A14" s="28" t="s">
        <v>50</v>
      </c>
      <c r="B14" s="3"/>
    </row>
    <row r="15">
      <c r="A15" s="7" t="s">
        <v>25</v>
      </c>
      <c r="B15" s="7" t="s">
        <v>10</v>
      </c>
    </row>
    <row r="16">
      <c r="A16" s="10" t="s">
        <v>51</v>
      </c>
      <c r="B16" s="11"/>
    </row>
    <row r="17">
      <c r="A17" s="10" t="s">
        <v>52</v>
      </c>
      <c r="B17" s="11"/>
    </row>
    <row r="18">
      <c r="A18" s="10" t="s">
        <v>53</v>
      </c>
      <c r="B18" s="11"/>
    </row>
    <row r="19">
      <c r="A19" s="10" t="s">
        <v>54</v>
      </c>
      <c r="B19" s="11"/>
    </row>
    <row r="20">
      <c r="A20" s="10" t="s">
        <v>55</v>
      </c>
      <c r="B20" s="11"/>
    </row>
    <row r="21" ht="15.75" customHeight="1">
      <c r="A21" s="10" t="s">
        <v>56</v>
      </c>
      <c r="B21" s="11"/>
    </row>
    <row r="22" ht="15.75" customHeight="1">
      <c r="A22" s="10" t="s">
        <v>57</v>
      </c>
      <c r="B22" s="11"/>
    </row>
    <row r="23" ht="15.75" customHeight="1">
      <c r="A23" s="10" t="s">
        <v>58</v>
      </c>
      <c r="B23" s="11"/>
    </row>
    <row r="24" ht="15.75" customHeight="1">
      <c r="A24" s="29" t="s">
        <v>59</v>
      </c>
      <c r="B24" s="30">
        <f>SUM(B16:B23)</f>
        <v>0</v>
      </c>
    </row>
    <row r="25" ht="15.75" customHeight="1"/>
    <row r="26" ht="15.75" customHeight="1">
      <c r="A26" s="31" t="s">
        <v>60</v>
      </c>
      <c r="B26" s="3"/>
    </row>
    <row r="27" ht="15.75" customHeight="1">
      <c r="A27" s="7" t="s">
        <v>25</v>
      </c>
      <c r="B27" s="7" t="s">
        <v>10</v>
      </c>
    </row>
    <row r="28" ht="15.75" customHeight="1">
      <c r="A28" s="10" t="s">
        <v>62</v>
      </c>
      <c r="B28" s="11"/>
    </row>
    <row r="29" ht="15.75" customHeight="1">
      <c r="A29" s="10" t="s">
        <v>63</v>
      </c>
      <c r="B29" s="11"/>
    </row>
    <row r="30" ht="15.75" customHeight="1">
      <c r="A30" s="10" t="s">
        <v>64</v>
      </c>
      <c r="B30" s="11"/>
    </row>
    <row r="31" ht="15.75" customHeight="1">
      <c r="A31" s="10" t="s">
        <v>65</v>
      </c>
      <c r="B31" s="11"/>
    </row>
    <row r="32" ht="15.75" customHeight="1">
      <c r="A32" s="10" t="s">
        <v>66</v>
      </c>
      <c r="B32" s="11"/>
    </row>
    <row r="33" ht="15.75" customHeight="1">
      <c r="A33" s="10" t="s">
        <v>67</v>
      </c>
      <c r="B33" s="11"/>
    </row>
    <row r="34" ht="15.75" customHeight="1">
      <c r="A34" s="10" t="s">
        <v>68</v>
      </c>
      <c r="B34" s="11"/>
    </row>
    <row r="35" ht="15.75" customHeight="1">
      <c r="A35" s="32" t="s">
        <v>69</v>
      </c>
      <c r="B35" s="33">
        <f>SUM(B28:B34)</f>
        <v>0</v>
      </c>
    </row>
    <row r="36" ht="15.75" customHeight="1"/>
    <row r="37" ht="15.75" customHeight="1">
      <c r="A37" s="22" t="s">
        <v>71</v>
      </c>
      <c r="B37" s="3"/>
    </row>
    <row r="38" ht="15.75" customHeight="1">
      <c r="A38" s="7" t="s">
        <v>25</v>
      </c>
      <c r="B38" s="7" t="s">
        <v>10</v>
      </c>
    </row>
    <row r="39" ht="15.75" customHeight="1">
      <c r="A39" s="10" t="s">
        <v>72</v>
      </c>
      <c r="B39" s="11"/>
    </row>
    <row r="40" ht="15.75" customHeight="1">
      <c r="A40" s="10" t="s">
        <v>73</v>
      </c>
      <c r="B40" s="11"/>
    </row>
    <row r="41" ht="15.75" customHeight="1">
      <c r="A41" s="10" t="s">
        <v>74</v>
      </c>
      <c r="B41" s="11"/>
    </row>
    <row r="42" ht="15.75" customHeight="1">
      <c r="A42" s="10" t="s">
        <v>75</v>
      </c>
      <c r="B42" s="11"/>
    </row>
    <row r="43" ht="15.75" customHeight="1">
      <c r="A43" s="10" t="s">
        <v>76</v>
      </c>
      <c r="B43" s="11"/>
    </row>
    <row r="44" ht="15.75" customHeight="1">
      <c r="A44" s="10" t="s">
        <v>77</v>
      </c>
      <c r="B44" s="11"/>
    </row>
    <row r="45" ht="15.75" customHeight="1">
      <c r="A45" s="10" t="s">
        <v>78</v>
      </c>
      <c r="B45" s="11"/>
    </row>
    <row r="46" ht="15.75" customHeight="1">
      <c r="A46" s="34" t="s">
        <v>80</v>
      </c>
      <c r="B46" s="35">
        <f>SUM(B39:B45)</f>
        <v>0</v>
      </c>
    </row>
    <row r="47" ht="15.75" customHeight="1"/>
    <row r="48" ht="15.75" customHeight="1">
      <c r="A48" s="22" t="s">
        <v>81</v>
      </c>
      <c r="B48" s="2"/>
      <c r="C48" s="3"/>
    </row>
    <row r="49" ht="15.75" customHeight="1">
      <c r="A49" s="7" t="s">
        <v>82</v>
      </c>
      <c r="B49" s="7" t="s">
        <v>84</v>
      </c>
      <c r="C49" s="7" t="s">
        <v>85</v>
      </c>
    </row>
    <row r="50" ht="15.75" customHeight="1">
      <c r="A50" s="10"/>
      <c r="B50" s="11"/>
      <c r="C50" s="11"/>
    </row>
    <row r="51" ht="15.75" customHeight="1">
      <c r="A51" s="10"/>
      <c r="B51" s="11"/>
      <c r="C51" s="11"/>
    </row>
    <row r="52" ht="15.75" customHeight="1">
      <c r="A52" s="10"/>
      <c r="B52" s="11"/>
      <c r="C52" s="11"/>
    </row>
    <row r="53" ht="15.75" customHeight="1">
      <c r="A53" s="10"/>
      <c r="B53" s="11"/>
      <c r="C53" s="11"/>
    </row>
    <row r="54" ht="15.75" customHeight="1">
      <c r="A54" s="36" t="s">
        <v>86</v>
      </c>
      <c r="B54" s="37">
        <f t="shared" ref="B54:C54" si="3">SUM(B50:B53)</f>
        <v>0</v>
      </c>
      <c r="C54" s="37">
        <f t="shared" si="3"/>
        <v>0</v>
      </c>
    </row>
    <row r="55" ht="15.75" customHeight="1"/>
    <row r="56" ht="15.75" customHeight="1">
      <c r="A56" s="38" t="s">
        <v>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B3"/>
    <mergeCell ref="E3:N3"/>
    <mergeCell ref="G4:H4"/>
    <mergeCell ref="I4:J4"/>
    <mergeCell ref="K4:L4"/>
    <mergeCell ref="M4:N4"/>
    <mergeCell ref="A14:B14"/>
    <mergeCell ref="A26:B26"/>
    <mergeCell ref="A37:B37"/>
    <mergeCell ref="A48:C48"/>
    <mergeCell ref="E4:F4"/>
    <mergeCell ref="E5:F5"/>
    <mergeCell ref="G5:H5"/>
    <mergeCell ref="I5:J5"/>
    <mergeCell ref="K5:L5"/>
    <mergeCell ref="M5:N5"/>
    <mergeCell ref="E7:N7"/>
  </mergeCells>
  <conditionalFormatting sqref="M5:N5">
    <cfRule type="cellIs" dxfId="0" priority="1" operator="lessThan">
      <formula>0</formula>
    </cfRule>
  </conditionalFormatting>
  <conditionalFormatting sqref="M5:N5">
    <cfRule type="cellIs" dxfId="1" priority="2" operator="greaterThanOrEqual">
      <formula>0</formula>
    </cfRule>
  </conditionalFormatting>
  <conditionalFormatting sqref="I9">
    <cfRule type="expression" dxfId="2" priority="3">
      <formula>ISNUMBER(SEARCH("⚠️",I9))</formula>
    </cfRule>
  </conditionalFormatting>
  <conditionalFormatting sqref="I9">
    <cfRule type="expression" dxfId="3" priority="4">
      <formula>ISNUMBER(SEARCH("✅",I9))</formula>
    </cfRule>
  </conditionalFormatting>
  <conditionalFormatting sqref="I10">
    <cfRule type="expression" dxfId="2" priority="5">
      <formula>ISNUMBER(SEARCH("⚠️",I10))</formula>
    </cfRule>
  </conditionalFormatting>
  <conditionalFormatting sqref="I10">
    <cfRule type="expression" dxfId="3" priority="6">
      <formula>ISNUMBER(SEARCH("✅",I10))</formula>
    </cfRule>
  </conditionalFormatting>
  <conditionalFormatting sqref="I11">
    <cfRule type="expression" dxfId="2" priority="7">
      <formula>ISNUMBER(SEARCH("⚠️",I11))</formula>
    </cfRule>
  </conditionalFormatting>
  <conditionalFormatting sqref="I11">
    <cfRule type="expression" dxfId="3" priority="8">
      <formula>ISNUMBER(SEARCH("✅",I11))</formula>
    </cfRule>
  </conditionalFormatting>
  <printOptions/>
  <pageMargins bottom="1.0" footer="0.0" header="0.0" left="0.75" right="0.75" top="1.0"/>
  <pageSetup paperSize="9" orientation="portrait"/>
  <drawing r:id="rId1"/>
</worksheet>
</file>